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74572A75-30EA-4E14-84A9-E096FD2BD5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uxo Conferido" sheetId="3" r:id="rId1"/>
  </sheets>
  <definedNames>
    <definedName name="_xlnm._FilterDatabase" localSheetId="0" hidden="1">'Fluxo Conferido'!$A$1:$E$21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3" i="3"/>
  <c r="E24" i="3"/>
  <c r="E25" i="3" l="1"/>
  <c r="E27" i="3" s="1"/>
</calcChain>
</file>

<file path=xl/sharedStrings.xml><?xml version="1.0" encoding="utf-8"?>
<sst xmlns="http://schemas.openxmlformats.org/spreadsheetml/2006/main" count="71" uniqueCount="36">
  <si>
    <t>Conta Max Credito</t>
  </si>
  <si>
    <t>Guia Vig.FILIAL</t>
  </si>
  <si>
    <t>Inspeção Vig.FILIAL</t>
  </si>
  <si>
    <t>DAS ref licitação Jundiai</t>
  </si>
  <si>
    <t>Ricardo</t>
  </si>
  <si>
    <t>Data</t>
  </si>
  <si>
    <t>Banco</t>
  </si>
  <si>
    <t>Tipo Transação</t>
  </si>
  <si>
    <t>Transação</t>
  </si>
  <si>
    <t>Valor</t>
  </si>
  <si>
    <t>Credito</t>
  </si>
  <si>
    <t>Débito</t>
  </si>
  <si>
    <t>Santander</t>
  </si>
  <si>
    <t>Crédito Recebido do banco C6</t>
  </si>
  <si>
    <t>Compra PH Trópicos Licitação Jundiai</t>
  </si>
  <si>
    <t>Frete retirada PH de Guarapuava PR &gt; destino Jundiai</t>
  </si>
  <si>
    <t>Ajudante do frete em Jundiai</t>
  </si>
  <si>
    <t>DAS ref Licitação São Pedro - COPOS</t>
  </si>
  <si>
    <t>Diferença Reajuste mensalidade Contador Ricardo 2026</t>
  </si>
  <si>
    <t>Compra Porta corta fogo Luma Industria RS</t>
  </si>
  <si>
    <t>Provisão Credito</t>
  </si>
  <si>
    <t>Provisão Credito S.Pedro copos</t>
  </si>
  <si>
    <t>Provisão Débito</t>
  </si>
  <si>
    <t>Banco do Brasil</t>
  </si>
  <si>
    <t>Crédito BB Licitação de Jundiai PH</t>
  </si>
  <si>
    <t>Investimento Inicial BC</t>
  </si>
  <si>
    <t>Venda Porta Corta Fogo para Nova Hamburgo</t>
  </si>
  <si>
    <t>Compra B2B 15 Cones Real Sinalização</t>
  </si>
  <si>
    <t>Venda de 15 cones viários</t>
  </si>
  <si>
    <t>Cartao Credito Ju Personalite Campanha Caua</t>
  </si>
  <si>
    <t>Controle do fechamento</t>
  </si>
  <si>
    <t>Saldo Santander + Banco do Brasil antes do Investimento Inicial BC</t>
  </si>
  <si>
    <t>Provisões de débito futuro - conforme verde I41</t>
  </si>
  <si>
    <t>Resultado líquido após provisões futuras</t>
  </si>
  <si>
    <t>DAS 06/2026</t>
  </si>
  <si>
    <t xml:space="preserve">Resultado final do caixa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</si>
</sst>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rgb="FFFFFFFF"/>
      <name val="Aptos Narrow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" fillId="0" borderId="0"/>
  </cellStyleXfs>
  <cellXfs count="25">
    <xf numFmtId="0" fontId="0" fillId="0" borderId="0" xfId="0"/>
    <xf numFmtId="44" fontId="2" fillId="0" borderId="0" xfId="0" applyNumberFormat="1" applyFont="1"/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44" fontId="3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4" fontId="2" fillId="0" borderId="1" xfId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2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44" fontId="3" fillId="4" borderId="1" xfId="1" applyFont="1" applyFill="1" applyBorder="1" applyAlignment="1">
      <alignment vertical="center"/>
    </xf>
    <xf numFmtId="44" fontId="3" fillId="5" borderId="1" xfId="1" applyFont="1" applyFill="1" applyBorder="1" applyAlignment="1">
      <alignment vertical="center"/>
    </xf>
    <xf numFmtId="14" fontId="6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44" fontId="7" fillId="6" borderId="1" xfId="1" applyFont="1" applyFill="1" applyBorder="1" applyAlignment="1">
      <alignment vertical="center"/>
    </xf>
    <xf numFmtId="14" fontId="8" fillId="0" borderId="1" xfId="0" applyNumberFormat="1" applyFon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tabSelected="1" zoomScaleNormal="100" workbookViewId="0">
      <pane ySplit="1" topLeftCell="A14" activePane="bottomLeft" state="frozen"/>
      <selection pane="bottomLeft" activeCell="D25" sqref="D25"/>
    </sheetView>
  </sheetViews>
  <sheetFormatPr defaultRowHeight="15" x14ac:dyDescent="0.25"/>
  <cols>
    <col min="1" max="1" width="13" style="2" bestFit="1" customWidth="1"/>
    <col min="2" max="3" width="18" customWidth="1"/>
    <col min="4" max="4" width="65.85546875" customWidth="1"/>
    <col min="5" max="5" width="18" bestFit="1" customWidth="1"/>
    <col min="6" max="6" width="10.5703125" bestFit="1" customWidth="1"/>
    <col min="7" max="7" width="22.140625" bestFit="1" customWidth="1"/>
    <col min="10" max="10" width="10.5703125" bestFit="1" customWidth="1"/>
  </cols>
  <sheetData>
    <row r="1" spans="1:6" ht="18" customHeight="1" x14ac:dyDescent="0.25">
      <c r="A1" s="3" t="s">
        <v>5</v>
      </c>
      <c r="B1" s="3" t="s">
        <v>6</v>
      </c>
      <c r="C1" s="3" t="s">
        <v>7</v>
      </c>
      <c r="D1" s="4" t="s">
        <v>8</v>
      </c>
      <c r="E1" s="3" t="s">
        <v>9</v>
      </c>
    </row>
    <row r="2" spans="1:6" ht="18" customHeight="1" x14ac:dyDescent="0.25">
      <c r="A2" s="5">
        <v>46118</v>
      </c>
      <c r="B2" s="5" t="s">
        <v>12</v>
      </c>
      <c r="C2" s="5" t="s">
        <v>10</v>
      </c>
      <c r="D2" s="6" t="s">
        <v>13</v>
      </c>
      <c r="E2" s="7">
        <v>20103.05</v>
      </c>
    </row>
    <row r="3" spans="1:6" ht="18" customHeight="1" x14ac:dyDescent="0.25">
      <c r="A3" s="5">
        <v>46118</v>
      </c>
      <c r="B3" s="5" t="s">
        <v>12</v>
      </c>
      <c r="C3" s="8" t="s">
        <v>10</v>
      </c>
      <c r="D3" s="6" t="s">
        <v>0</v>
      </c>
      <c r="E3" s="7">
        <v>4.05</v>
      </c>
    </row>
    <row r="4" spans="1:6" ht="18" customHeight="1" x14ac:dyDescent="0.25">
      <c r="A4" s="5">
        <v>46120</v>
      </c>
      <c r="B4" s="5" t="s">
        <v>12</v>
      </c>
      <c r="C4" s="5" t="s">
        <v>11</v>
      </c>
      <c r="D4" s="6" t="s">
        <v>14</v>
      </c>
      <c r="E4" s="9">
        <v>-3577</v>
      </c>
    </row>
    <row r="5" spans="1:6" ht="18" customHeight="1" x14ac:dyDescent="0.25">
      <c r="A5" s="5">
        <v>46120</v>
      </c>
      <c r="B5" s="5" t="s">
        <v>12</v>
      </c>
      <c r="C5" s="5" t="s">
        <v>11</v>
      </c>
      <c r="D5" s="6" t="s">
        <v>15</v>
      </c>
      <c r="E5" s="7">
        <v>-1900</v>
      </c>
    </row>
    <row r="6" spans="1:6" ht="18" customHeight="1" x14ac:dyDescent="0.25">
      <c r="A6" s="5">
        <v>46120</v>
      </c>
      <c r="B6" s="5" t="s">
        <v>12</v>
      </c>
      <c r="C6" s="5" t="s">
        <v>11</v>
      </c>
      <c r="D6" s="6" t="s">
        <v>16</v>
      </c>
      <c r="E6" s="7">
        <v>-150</v>
      </c>
    </row>
    <row r="7" spans="1:6" ht="18" customHeight="1" x14ac:dyDescent="0.25">
      <c r="A7" s="5">
        <v>46132</v>
      </c>
      <c r="B7" s="5" t="s">
        <v>12</v>
      </c>
      <c r="C7" s="5" t="s">
        <v>11</v>
      </c>
      <c r="D7" s="6" t="s">
        <v>17</v>
      </c>
      <c r="E7" s="9">
        <v>-912</v>
      </c>
    </row>
    <row r="8" spans="1:6" ht="18" customHeight="1" x14ac:dyDescent="0.25">
      <c r="A8" s="5">
        <v>46132</v>
      </c>
      <c r="B8" s="5" t="s">
        <v>12</v>
      </c>
      <c r="C8" s="5" t="s">
        <v>11</v>
      </c>
      <c r="D8" s="6" t="s">
        <v>18</v>
      </c>
      <c r="E8" s="7">
        <v>-102</v>
      </c>
    </row>
    <row r="9" spans="1:6" ht="18" customHeight="1" x14ac:dyDescent="0.25">
      <c r="A9" s="5">
        <v>46146</v>
      </c>
      <c r="B9" s="5" t="s">
        <v>12</v>
      </c>
      <c r="C9" s="5" t="s">
        <v>10</v>
      </c>
      <c r="D9" s="6" t="s">
        <v>26</v>
      </c>
      <c r="E9" s="9">
        <v>3812.78</v>
      </c>
    </row>
    <row r="10" spans="1:6" ht="18" customHeight="1" x14ac:dyDescent="0.25">
      <c r="A10" s="5">
        <v>46147</v>
      </c>
      <c r="B10" s="5" t="s">
        <v>12</v>
      </c>
      <c r="C10" s="5" t="s">
        <v>11</v>
      </c>
      <c r="D10" s="6" t="s">
        <v>19</v>
      </c>
      <c r="E10" s="10">
        <v>-2700</v>
      </c>
    </row>
    <row r="11" spans="1:6" ht="18" customHeight="1" x14ac:dyDescent="0.25">
      <c r="A11" s="5">
        <v>46149</v>
      </c>
      <c r="B11" s="5" t="s">
        <v>12</v>
      </c>
      <c r="C11" s="5" t="s">
        <v>11</v>
      </c>
      <c r="D11" s="6" t="s">
        <v>27</v>
      </c>
      <c r="E11" s="10">
        <v>-2250</v>
      </c>
    </row>
    <row r="12" spans="1:6" ht="18" customHeight="1" x14ac:dyDescent="0.25">
      <c r="A12" s="5">
        <v>46154</v>
      </c>
      <c r="B12" s="5" t="s">
        <v>12</v>
      </c>
      <c r="C12" s="5" t="s">
        <v>20</v>
      </c>
      <c r="D12" s="6" t="s">
        <v>28</v>
      </c>
      <c r="E12" s="9">
        <v>3495.75</v>
      </c>
    </row>
    <row r="13" spans="1:6" ht="18" customHeight="1" x14ac:dyDescent="0.25">
      <c r="A13" s="5">
        <v>46153</v>
      </c>
      <c r="B13" s="5" t="s">
        <v>12</v>
      </c>
      <c r="C13" s="5" t="s">
        <v>20</v>
      </c>
      <c r="D13" s="6" t="s">
        <v>21</v>
      </c>
      <c r="E13" s="11">
        <v>22800</v>
      </c>
      <c r="F13" s="1"/>
    </row>
    <row r="14" spans="1:6" ht="18" customHeight="1" x14ac:dyDescent="0.25">
      <c r="A14" s="5">
        <v>46153</v>
      </c>
      <c r="B14" s="5" t="s">
        <v>23</v>
      </c>
      <c r="C14" s="5" t="s">
        <v>10</v>
      </c>
      <c r="D14" s="6" t="s">
        <v>24</v>
      </c>
      <c r="E14" s="10">
        <v>5050</v>
      </c>
    </row>
    <row r="15" spans="1:6" ht="18" customHeight="1" x14ac:dyDescent="0.25">
      <c r="A15" s="5">
        <v>46023</v>
      </c>
      <c r="B15" s="5" t="s">
        <v>12</v>
      </c>
      <c r="C15" s="8" t="s">
        <v>22</v>
      </c>
      <c r="D15" s="6" t="s">
        <v>25</v>
      </c>
      <c r="E15" s="7">
        <v>-40000</v>
      </c>
    </row>
    <row r="16" spans="1:6" ht="18" customHeight="1" x14ac:dyDescent="0.25">
      <c r="A16" s="5">
        <v>46149</v>
      </c>
      <c r="B16" s="5" t="s">
        <v>12</v>
      </c>
      <c r="C16" s="8" t="s">
        <v>22</v>
      </c>
      <c r="D16" s="6" t="s">
        <v>29</v>
      </c>
      <c r="E16" s="9">
        <v>-192</v>
      </c>
    </row>
    <row r="17" spans="1:5" ht="18" customHeight="1" x14ac:dyDescent="0.25">
      <c r="A17" s="5">
        <v>46157</v>
      </c>
      <c r="B17" s="5" t="s">
        <v>12</v>
      </c>
      <c r="C17" s="8" t="s">
        <v>22</v>
      </c>
      <c r="D17" s="6" t="s">
        <v>1</v>
      </c>
      <c r="E17" s="9">
        <v>-533.13</v>
      </c>
    </row>
    <row r="18" spans="1:5" ht="18" customHeight="1" x14ac:dyDescent="0.25">
      <c r="A18" s="5">
        <v>46157</v>
      </c>
      <c r="B18" s="5" t="s">
        <v>12</v>
      </c>
      <c r="C18" s="8" t="s">
        <v>22</v>
      </c>
      <c r="D18" s="6" t="s">
        <v>2</v>
      </c>
      <c r="E18" s="9">
        <v>-170.6</v>
      </c>
    </row>
    <row r="19" spans="1:5" ht="18" customHeight="1" x14ac:dyDescent="0.25">
      <c r="A19" s="5">
        <v>46162</v>
      </c>
      <c r="B19" s="5" t="s">
        <v>12</v>
      </c>
      <c r="C19" s="8" t="s">
        <v>22</v>
      </c>
      <c r="D19" s="6" t="s">
        <v>3</v>
      </c>
      <c r="E19" s="9">
        <v>-202</v>
      </c>
    </row>
    <row r="20" spans="1:5" ht="18" customHeight="1" x14ac:dyDescent="0.25">
      <c r="A20" s="12">
        <v>46162</v>
      </c>
      <c r="B20" s="12" t="s">
        <v>12</v>
      </c>
      <c r="C20" s="13" t="s">
        <v>22</v>
      </c>
      <c r="D20" s="14" t="s">
        <v>4</v>
      </c>
      <c r="E20" s="9">
        <v>-1000</v>
      </c>
    </row>
    <row r="21" spans="1:5" ht="18" customHeight="1" x14ac:dyDescent="0.25">
      <c r="A21" s="15">
        <v>46193</v>
      </c>
      <c r="B21" s="15" t="s">
        <v>12</v>
      </c>
      <c r="C21" s="16" t="s">
        <v>22</v>
      </c>
      <c r="D21" s="17" t="s">
        <v>34</v>
      </c>
      <c r="E21" s="9">
        <v>-292</v>
      </c>
    </row>
    <row r="22" spans="1:5" ht="24" customHeight="1" x14ac:dyDescent="0.25">
      <c r="A22" s="21" t="s">
        <v>30</v>
      </c>
      <c r="B22" s="22"/>
      <c r="C22" s="22"/>
      <c r="D22" s="22"/>
      <c r="E22" s="22"/>
    </row>
    <row r="23" spans="1:5" ht="18" customHeight="1" x14ac:dyDescent="0.25">
      <c r="A23" s="18" t="s">
        <v>31</v>
      </c>
      <c r="B23" s="5"/>
      <c r="C23" s="5"/>
      <c r="D23" s="6"/>
      <c r="E23" s="19">
        <f>SUMIFS(E:E,B:B,"Santander",C:C,"&lt;&gt;Provisão Débito")+SUMIFS(E:E,B:B,"Banco do Brasil",C:C,"&lt;&gt;Provisão Débito")</f>
        <v>43674.63</v>
      </c>
    </row>
    <row r="24" spans="1:5" ht="18" customHeight="1" x14ac:dyDescent="0.25">
      <c r="A24" s="18" t="s">
        <v>25</v>
      </c>
      <c r="B24" s="5"/>
      <c r="C24" s="5"/>
      <c r="D24" s="6"/>
      <c r="E24" s="19">
        <f>SUMIF(D:D,"Investimento Inicial BC",E:E)</f>
        <v>-40000</v>
      </c>
    </row>
    <row r="25" spans="1:5" ht="18" customHeight="1" x14ac:dyDescent="0.25">
      <c r="A25" s="24" t="s">
        <v>35</v>
      </c>
      <c r="B25" s="5"/>
      <c r="C25" s="5"/>
      <c r="D25" s="6"/>
      <c r="E25" s="20">
        <f>E23+E24</f>
        <v>3674.6299999999974</v>
      </c>
    </row>
    <row r="26" spans="1:5" ht="18" customHeight="1" x14ac:dyDescent="0.25">
      <c r="A26" s="18" t="s">
        <v>32</v>
      </c>
      <c r="B26" s="5"/>
      <c r="C26" s="5"/>
      <c r="D26" s="6"/>
      <c r="E26" s="20">
        <f>-SUMIFS(E:E,C:C,"Provisão Débito",D:D,"&lt;&gt;Investimento Inicial BC")</f>
        <v>2389.73</v>
      </c>
    </row>
    <row r="27" spans="1:5" ht="18" customHeight="1" x14ac:dyDescent="0.25">
      <c r="A27" s="18" t="s">
        <v>33</v>
      </c>
      <c r="B27" s="5"/>
      <c r="C27" s="5"/>
      <c r="D27" s="6"/>
      <c r="E27" s="23">
        <f>E25-E26</f>
        <v>1284.8999999999974</v>
      </c>
    </row>
    <row r="28" spans="1:5" ht="18" customHeight="1" x14ac:dyDescent="0.25">
      <c r="A28" s="5"/>
      <c r="B28" s="5"/>
      <c r="C28" s="5"/>
      <c r="D28" s="6"/>
      <c r="E28" s="7"/>
    </row>
  </sheetData>
  <autoFilter ref="A1:E21" xr:uid="{00000000-0009-0000-0000-000002000000}"/>
  <mergeCells count="1">
    <mergeCell ref="A22:E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Conferido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mathias</dc:creator>
  <cp:lastModifiedBy>Bruna Camilato</cp:lastModifiedBy>
  <dcterms:created xsi:type="dcterms:W3CDTF">2026-05-07T17:54:23Z</dcterms:created>
  <dcterms:modified xsi:type="dcterms:W3CDTF">2026-05-13T01:18:15Z</dcterms:modified>
</cp:coreProperties>
</file>